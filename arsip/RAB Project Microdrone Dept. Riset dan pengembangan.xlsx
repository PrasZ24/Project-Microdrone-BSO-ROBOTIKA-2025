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SO\microdrone\"/>
    </mc:Choice>
  </mc:AlternateContent>
  <xr:revisionPtr revIDLastSave="0" documentId="13_ncr:1_{24E46EEA-0CCA-4FC1-A320-29EFC4433B56}" xr6:coauthVersionLast="45" xr6:coauthVersionMax="45" xr10:uidLastSave="{00000000-0000-0000-0000-000000000000}"/>
  <bookViews>
    <workbookView xWindow="-120" yWindow="-120" windowWidth="20730" windowHeight="11040" xr2:uid="{5666CAA5-F24A-42AB-A900-112845A91902}"/>
  </bookViews>
  <sheets>
    <sheet name="RAB Batch 1" sheetId="1" r:id="rId1"/>
    <sheet name="RAB Batch 2" sheetId="3" r:id="rId2"/>
    <sheet name="Laporan Keuanga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2" i="3" l="1"/>
  <c r="C21" i="3"/>
  <c r="C19" i="3"/>
  <c r="E5" i="3"/>
  <c r="C11" i="3"/>
  <c r="E3" i="2"/>
  <c r="E4" i="2" s="1"/>
  <c r="E5" i="2" s="1"/>
  <c r="E6" i="2" s="1"/>
  <c r="E7" i="2" s="1"/>
  <c r="E8" i="2" s="1"/>
  <c r="E4" i="1" l="1"/>
  <c r="C25" i="1"/>
  <c r="C18" i="1" l="1"/>
</calcChain>
</file>

<file path=xl/sharedStrings.xml><?xml version="1.0" encoding="utf-8"?>
<sst xmlns="http://schemas.openxmlformats.org/spreadsheetml/2006/main" count="97" uniqueCount="74">
  <si>
    <t xml:space="preserve">No. </t>
  </si>
  <si>
    <t>Harga</t>
  </si>
  <si>
    <t>Link</t>
  </si>
  <si>
    <t>esp32</t>
  </si>
  <si>
    <t>Nama @jumlah</t>
  </si>
  <si>
    <t>ESP32 C3 Super Mini @1</t>
  </si>
  <si>
    <t>Micromotor 720 @4</t>
  </si>
  <si>
    <t>AO3400 @10</t>
  </si>
  <si>
    <t>A03400</t>
  </si>
  <si>
    <t>10k SMD 0805 @25</t>
  </si>
  <si>
    <t>Res 10k</t>
  </si>
  <si>
    <t>220 SMD 0805 @25</t>
  </si>
  <si>
    <t>Res 220</t>
  </si>
  <si>
    <t>RS2M SMA FR207 Diode @5</t>
  </si>
  <si>
    <t>Diode</t>
  </si>
  <si>
    <t>Baterai 3.7v 650mAh @2</t>
  </si>
  <si>
    <t>battery</t>
  </si>
  <si>
    <t>konektor jst siku @5</t>
  </si>
  <si>
    <t>JST</t>
  </si>
  <si>
    <t>7333A  @1</t>
  </si>
  <si>
    <t xml:space="preserve">7333A </t>
  </si>
  <si>
    <t>JLPCB</t>
  </si>
  <si>
    <t>Propeller @4</t>
  </si>
  <si>
    <t>55mm Propeller</t>
  </si>
  <si>
    <t>Stik PS3</t>
  </si>
  <si>
    <t>-</t>
  </si>
  <si>
    <t>3D Print</t>
  </si>
  <si>
    <t xml:space="preserve">3D </t>
  </si>
  <si>
    <t>Ver 1 : 12/05/25</t>
  </si>
  <si>
    <t>Ver 2 : 13/05/25</t>
  </si>
  <si>
    <t>Cetak PCB Spectra</t>
  </si>
  <si>
    <t>RAB Project Microdrone</t>
  </si>
  <si>
    <t>Total</t>
  </si>
  <si>
    <t>Ver 3 : 19/05/25</t>
  </si>
  <si>
    <t>MPU9250 + bmp280 @1</t>
  </si>
  <si>
    <t>Mengganti sensor MPU6250 dan BMP280 dengan MPU9250+BMP280</t>
  </si>
  <si>
    <t>MPU9250+BMP280</t>
  </si>
  <si>
    <t>Ver 4 : 29/05/25</t>
  </si>
  <si>
    <t>Menambahkan prioritas RAB untuk pencairan 1 april</t>
  </si>
  <si>
    <t>Ver 5 : 19/11/25</t>
  </si>
  <si>
    <t>Update yang dibeli di pencairan batch 1</t>
  </si>
  <si>
    <t>Tidak dibeli</t>
  </si>
  <si>
    <t>Dibeli</t>
  </si>
  <si>
    <t>Baterai 1000mAh</t>
  </si>
  <si>
    <t>baterai 1000mah</t>
  </si>
  <si>
    <t>Gemfan 65mm propeller @8</t>
  </si>
  <si>
    <t>Micromomtor 8520 @4</t>
  </si>
  <si>
    <t>Propeller 65mm</t>
  </si>
  <si>
    <t>Laporan Keuangan Microdrone</t>
  </si>
  <si>
    <t>No</t>
  </si>
  <si>
    <t>Keterangan</t>
  </si>
  <si>
    <t>Kredit</t>
  </si>
  <si>
    <t>Debit</t>
  </si>
  <si>
    <t>Pencairan Batch 1</t>
  </si>
  <si>
    <t>RAB Project Microdrone (PCB Controller)</t>
  </si>
  <si>
    <t>No.</t>
  </si>
  <si>
    <t>AO3400 Mosfet @4</t>
  </si>
  <si>
    <t>Resistor 1k6 @4</t>
  </si>
  <si>
    <t>Ceramic Capacitor 10uF @1</t>
  </si>
  <si>
    <t>JST @1</t>
  </si>
  <si>
    <t>MPU6050 @1</t>
  </si>
  <si>
    <t>Res 10k @1</t>
  </si>
  <si>
    <t xml:space="preserve"> Berpotensi ditukar dengan barang yang sama di sekre</t>
  </si>
  <si>
    <t>Baterai 300mAh</t>
  </si>
  <si>
    <t>Charger</t>
  </si>
  <si>
    <t>PCB @1</t>
  </si>
  <si>
    <t>Baterai 300mAh @1</t>
  </si>
  <si>
    <t>Charger IP2312 @1</t>
  </si>
  <si>
    <t>Wadah 22x22cm@1</t>
  </si>
  <si>
    <t>Wadah</t>
  </si>
  <si>
    <t>Busa 25x25x4cm @1</t>
  </si>
  <si>
    <t>Busa</t>
  </si>
  <si>
    <t xml:space="preserve">Total Pengajuan </t>
  </si>
  <si>
    <t>Total Pengajuan jika ada penukaran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</si>
</sst>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Rp-3809]* #,##0.00_-;\-[$Rp-3809]* #,##0.00_-;_-[$Rp-3809]* &quot;-&quot;??_-;_-@_-"/>
    <numFmt numFmtId="165" formatCode="&quot;Rp&quot;#,##0.00;[Red]&quot;Rp&quot;#,##0.00"/>
    <numFmt numFmtId="170" formatCode="&quot;Rp&quot;#,##0.00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1" fillId="5" borderId="1" xfId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1" fillId="6" borderId="1" xfId="1" applyFill="1" applyBorder="1" applyAlignment="1">
      <alignment horizontal="center" vertical="center"/>
    </xf>
    <xf numFmtId="164" fontId="1" fillId="6" borderId="1" xfId="1" applyNumberForma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5" borderId="2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164" fontId="0" fillId="0" borderId="0" xfId="0" applyNumberFormat="1"/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/>
    <xf numFmtId="0" fontId="3" fillId="8" borderId="1" xfId="0" applyFont="1" applyFill="1" applyBorder="1" applyAlignment="1">
      <alignment horizontal="center" vertical="center"/>
    </xf>
    <xf numFmtId="165" fontId="3" fillId="8" borderId="1" xfId="0" applyNumberFormat="1" applyFont="1" applyFill="1" applyBorder="1" applyAlignment="1">
      <alignment horizontal="center" vertical="center"/>
    </xf>
    <xf numFmtId="164" fontId="3" fillId="8" borderId="1" xfId="0" applyNumberFormat="1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0" fontId="0" fillId="3" borderId="1" xfId="0" applyNumberFormat="1" applyFill="1" applyBorder="1" applyAlignment="1">
      <alignment horizontal="right" vertical="center"/>
    </xf>
    <xf numFmtId="170" fontId="0" fillId="0" borderId="1" xfId="0" applyNumberFormat="1" applyBorder="1" applyAlignment="1">
      <alignment horizontal="right" vertical="center"/>
    </xf>
    <xf numFmtId="170" fontId="0" fillId="0" borderId="0" xfId="0" applyNumberFormat="1" applyAlignment="1">
      <alignment horizontal="right" vertical="center"/>
    </xf>
    <xf numFmtId="0" fontId="0" fillId="9" borderId="1" xfId="0" applyFill="1" applyBorder="1" applyAlignment="1">
      <alignment horizontal="center" vertical="center"/>
    </xf>
    <xf numFmtId="170" fontId="0" fillId="9" borderId="1" xfId="0" applyNumberFormat="1" applyFill="1" applyBorder="1" applyAlignment="1">
      <alignment horizontal="right" vertical="center"/>
    </xf>
    <xf numFmtId="170" fontId="0" fillId="9" borderId="2" xfId="0" applyNumberForma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70" fontId="0" fillId="2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70" fontId="0" fillId="10" borderId="1" xfId="0" applyNumberFormat="1" applyFill="1" applyBorder="1" applyAlignment="1">
      <alignment horizontal="right" vertical="center"/>
    </xf>
    <xf numFmtId="0" fontId="1" fillId="10" borderId="1" xfId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70" fontId="0" fillId="0" borderId="0" xfId="0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okopedia.com/jslbejoshop/baterai-lithium-li-ion-mini-portable-3-7-v-600-mah-type-2?extParam=ivf%3Dfalse%26keyword%3Dlithium+3.7%26search_id%3D20250312142039439AD2F37D0CC0160PG7%26src%3Dsearch" TargetMode="External"/><Relationship Id="rId13" Type="http://schemas.openxmlformats.org/officeDocument/2006/relationships/hyperlink" Target="https://shopee.co.id/Cetak-3D-Print-Dimensi-PLA--i.682252899.13493017350" TargetMode="External"/><Relationship Id="rId3" Type="http://schemas.openxmlformats.org/officeDocument/2006/relationships/hyperlink" Target="https://www.tokopedia.com/cncstorebandung/micro-small-motor-dc-720-46000rpm-3-7v-high-torque-for-drone?extParam=whid%3D15512%26src%3Dshop&amp;aff_unique_id=&amp;channel=others&amp;chain_key=" TargetMode="External"/><Relationship Id="rId7" Type="http://schemas.openxmlformats.org/officeDocument/2006/relationships/hyperlink" Target="https://shopee.co.id/5pcs-Diode-RS2M-SMA-FR207-Diode-SMD-2A-1000V-Dioda-RS2M-FR207-i.65450634.23739158700?sp_atk=e7c56991-7f07-4b4f-803f-7ecde6a0ed0c&amp;xptdk=e7c56991-7f07-4b4f-803f-7ecde6a0ed0c" TargetMode="External"/><Relationship Id="rId12" Type="http://schemas.openxmlformats.org/officeDocument/2006/relationships/hyperlink" Target="https://shopee.co.id/4pcs-Blade-Propeller-55mm-Baling-baling-Mini-Quadcopter-Drone-Hubsan-55x8mm-i.292092948.16288485252?sp_atk=b67c59c5-d71d-4588-999a-4a7ce3966f38&amp;xptdk=b67c59c5-d71d-4588-999a-4a7ce3966f38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shopee.co.id/(Ready-Stock)-GY-91-MPU9250-BMP280-10DOF-Acceleration-Gyroscope-Compass-Altimeter-Altitude-9-Axis-Sensor-Module-i.1385560436.28870693350?sp_atk=189a8947-e6a1-4f66-944b-02a21901662a&amp;xptdk=189a8947-e6a1-4f66-944b-02a21901662a" TargetMode="External"/><Relationship Id="rId16" Type="http://schemas.openxmlformats.org/officeDocument/2006/relationships/hyperlink" Target="https://shopee.co.id/Dinamo-Motor-Drone-Coreless-8520-CW-CCW-8.5x20mm-for-Brushed-Micro-Mini-High-Speed-Quadcopter-Engine-i.8944057.24227476952" TargetMode="External"/><Relationship Id="rId1" Type="http://schemas.openxmlformats.org/officeDocument/2006/relationships/hyperlink" Target="https://shopee.co.id/ESP32-C3-RISC-V-Super-Mini-Development-Board-WiFi-Bluetooth-5.0-ESP8266-Type-C-i.65450634.28022146930?sp_atk=c0f86463-adeb-4137-8ea9-48e2dc048f96&amp;xptdk=c0f86463-adeb-4137-8ea9-48e2dc048f96" TargetMode="External"/><Relationship Id="rId6" Type="http://schemas.openxmlformats.org/officeDocument/2006/relationships/hyperlink" Target="https://shopee.co.id/25pcs-YAGEO-Resistor-Taiwan-YAGEO-0805-SMD-SMT-1-10R-100R-220R-330R-510R-1K-1K2-10-Ohm-1.2K-Ohm-Chip-Resistor-i.65450634.26862847127?sp_atk=6ada781a-13aa-4d2c-9ca8-5596ad1efb11&amp;xptdk=6ada781a-13aa-4d2c-9ca8-5596ad1efb11" TargetMode="External"/><Relationship Id="rId11" Type="http://schemas.openxmlformats.org/officeDocument/2006/relationships/hyperlink" Target="https://cart.jlcpcb.com/quote?orderType=1&amp;stencilLayer=2&amp;stencilWidth=130&amp;stencilLength=130&amp;stencilCounts=5&amp;spm=Jlcpcb.Homepage.1010" TargetMode="External"/><Relationship Id="rId5" Type="http://schemas.openxmlformats.org/officeDocument/2006/relationships/hyperlink" Target="https://shopee.co.id/25pcs-YAGEO-Resistor-Taiwan-YAGEO-0805-SMD-SMT-1-0R1-2K2-4K7-5K1-10K-15K-27K-47K-100K-Ohm-4.7K-Ohm-Chip-Resistor-i.65450634.26812843603?sp_atk=d4d9edbd-3a84-4a4f-918c-ce978ed02420&amp;xptdk=d4d9edbd-3a84-4a4f-918c-ce978ed02420" TargetMode="External"/><Relationship Id="rId15" Type="http://schemas.openxmlformats.org/officeDocument/2006/relationships/hyperlink" Target="https://shopee.co.id/4-Pair-Gemfan-65mmS-1mm-Shaft-65mm-Propeller-2.5-Inch-Clear-Black-i.991860709.28077251166" TargetMode="External"/><Relationship Id="rId10" Type="http://schemas.openxmlformats.org/officeDocument/2006/relationships/hyperlink" Target="https://shopee.co.id/HT-7333-7333A-IC-LDO-Low-Consumption-3.3V-3.3-V-Voltage-Regulator-i.29614947.14697538373?sp_atk=df65daed-b886-4e61-91e6-6afb4565e45b&amp;xptdk=df65daed-b886-4e61-91e6-6afb4565e45b" TargetMode="External"/><Relationship Id="rId4" Type="http://schemas.openxmlformats.org/officeDocument/2006/relationships/hyperlink" Target="https://shopee.co.id/10x-MOSFET-AO3400-A09T-SOT-23-30V-5.8A-Transistor-Mosfet-AO-3400-AO3400A-SMD-SMT-1-N-Channel-i.65450634.28316152332?sp_atk=17cab5e7-7114-4a3e-9443-53d57aa5b609&amp;xptdk=17cab5e7-7114-4a3e-9443-53d57aa5b609" TargetMode="External"/><Relationship Id="rId9" Type="http://schemas.openxmlformats.org/officeDocument/2006/relationships/hyperlink" Target="https://shopee.co.id/2P-Right-Angle-JST-2-Pin-XH2.54-Socket-Bengkok-2.54mm-Male-PCB-Connect-i.421203311.26016769686?sp_atk=59174b74-c2e7-43d4-8046-9bbdad41f79c&amp;xptdk=59174b74-c2e7-43d4-8046-9bbdad41f79c" TargetMode="External"/><Relationship Id="rId14" Type="http://schemas.openxmlformats.org/officeDocument/2006/relationships/hyperlink" Target="https://shopee.co.id/-TOYSHOUSE-Baterai-Li-Po-3.7V-1000mAh-902540-untuk-Drone-Mainan-RC-(-HANYA-BATERAI-SAJA-TIDAK-DENGAN-CHARGERAN-NYA-)-i.996281136.43166094792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hopee.co.id/Kotak-Serbaguna-Viola-Tempat-Kue-Lapis-Bahan-Berkualitas-Food-Grade-i.272580400.5842540963?extraParams=%7B%22display_model_id%22%3A21286144442%2C%22model_selection_logic%22%3A2%7D&amp;sp_atk=6919f52c-c48f-49a9-8f24-e012ce65806f&amp;xptdk=6919f52c-c48f-49a9-8f24-e012ce65806f" TargetMode="External"/><Relationship Id="rId2" Type="http://schemas.openxmlformats.org/officeDocument/2006/relationships/hyperlink" Target="https://shopee.co.id/Quick-Fast-Charging-Board-IP2312-CC-CV-Mode-5V-To-4.2V-Type-C-i.65450634.13396087860" TargetMode="External"/><Relationship Id="rId1" Type="http://schemas.openxmlformats.org/officeDocument/2006/relationships/hyperlink" Target="https://shopee.co.id/Battery-Batere-Baterai-Lipo-1S-3.7V-3.7Volt-150mAh-25C-Syma-JST-Losi-2pin-gepeng-eachine-i.38108753.20775968108" TargetMode="External"/><Relationship Id="rId4" Type="http://schemas.openxmlformats.org/officeDocument/2006/relationships/hyperlink" Target="https://shopee.co.id/Busa-Royal-Foam-Hitam-Super-Lembaran-Busa-Packing-Paking-Hitam-High-Density-Packaging-Foam-Ukuran-25x25cm-i.73253976.27428820956?extraParams=%7B%22display_model_id%22%3A109423373285%2C%22model_selection_logic%22%3A2%7D&amp;sp_atk=3e45f0a1-be44-44f7-b52b-ca8b14521f72&amp;xptdk=3e45f0a1-be44-44f7-b52b-ca8b14521f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9C14E-31CC-4CFF-B35F-F4220F8A7FB9}">
  <dimension ref="A2:I25"/>
  <sheetViews>
    <sheetView tabSelected="1" workbookViewId="0">
      <selection activeCell="F24" sqref="F24"/>
    </sheetView>
  </sheetViews>
  <sheetFormatPr defaultRowHeight="15" x14ac:dyDescent="0.25"/>
  <cols>
    <col min="1" max="1" width="9.140625" style="1"/>
    <col min="2" max="2" width="26.42578125" style="1" bestFit="1" customWidth="1"/>
    <col min="3" max="3" width="15.5703125" style="2" bestFit="1" customWidth="1"/>
    <col min="4" max="4" width="17.42578125" style="1" bestFit="1" customWidth="1"/>
    <col min="5" max="5" width="17.85546875" style="1" bestFit="1" customWidth="1"/>
    <col min="6" max="6" width="14" style="1" bestFit="1" customWidth="1"/>
    <col min="7" max="7" width="11.28515625" style="1" bestFit="1" customWidth="1"/>
    <col min="8" max="8" width="14.85546875" style="1" bestFit="1" customWidth="1"/>
    <col min="9" max="9" width="61.7109375" style="1" bestFit="1" customWidth="1"/>
    <col min="10" max="16384" width="9.140625" style="1"/>
  </cols>
  <sheetData>
    <row r="2" spans="1:7" x14ac:dyDescent="0.25">
      <c r="A2" s="10" t="s">
        <v>31</v>
      </c>
      <c r="B2" s="10"/>
      <c r="C2" s="10"/>
      <c r="D2" s="10"/>
    </row>
    <row r="3" spans="1:7" x14ac:dyDescent="0.25">
      <c r="A3" s="5" t="s">
        <v>0</v>
      </c>
      <c r="B3" s="5" t="s">
        <v>4</v>
      </c>
      <c r="C3" s="6" t="s">
        <v>1</v>
      </c>
      <c r="D3" s="5" t="s">
        <v>2</v>
      </c>
      <c r="F3" s="2"/>
    </row>
    <row r="4" spans="1:7" x14ac:dyDescent="0.25">
      <c r="A4" s="7">
        <v>1</v>
      </c>
      <c r="B4" s="7" t="s">
        <v>5</v>
      </c>
      <c r="C4" s="8">
        <v>48000</v>
      </c>
      <c r="D4" s="9" t="s">
        <v>3</v>
      </c>
      <c r="E4" s="20">
        <f>SUM(C4:C5)</f>
        <v>163000</v>
      </c>
      <c r="F4" s="17"/>
      <c r="G4" s="1" t="s">
        <v>41</v>
      </c>
    </row>
    <row r="5" spans="1:7" x14ac:dyDescent="0.25">
      <c r="A5" s="7">
        <v>2</v>
      </c>
      <c r="B5" s="7" t="s">
        <v>34</v>
      </c>
      <c r="C5" s="8">
        <v>115000</v>
      </c>
      <c r="D5" s="9" t="s">
        <v>36</v>
      </c>
      <c r="E5" s="21"/>
      <c r="F5" s="18"/>
      <c r="G5" s="1" t="s">
        <v>42</v>
      </c>
    </row>
    <row r="6" spans="1:7" x14ac:dyDescent="0.25">
      <c r="A6" s="13">
        <v>3</v>
      </c>
      <c r="B6" s="13" t="s">
        <v>6</v>
      </c>
      <c r="C6" s="14">
        <v>40000</v>
      </c>
      <c r="D6" s="15">
        <v>720</v>
      </c>
    </row>
    <row r="7" spans="1:7" x14ac:dyDescent="0.25">
      <c r="A7" s="13">
        <v>4</v>
      </c>
      <c r="B7" s="13" t="s">
        <v>7</v>
      </c>
      <c r="C7" s="14">
        <v>5000</v>
      </c>
      <c r="D7" s="15" t="s">
        <v>8</v>
      </c>
    </row>
    <row r="8" spans="1:7" x14ac:dyDescent="0.25">
      <c r="A8" s="13">
        <v>5</v>
      </c>
      <c r="B8" s="13" t="s">
        <v>9</v>
      </c>
      <c r="C8" s="14">
        <v>3000</v>
      </c>
      <c r="D8" s="16" t="s">
        <v>10</v>
      </c>
    </row>
    <row r="9" spans="1:7" x14ac:dyDescent="0.25">
      <c r="A9" s="13">
        <v>6</v>
      </c>
      <c r="B9" s="13" t="s">
        <v>11</v>
      </c>
      <c r="C9" s="14">
        <v>3000</v>
      </c>
      <c r="D9" s="15" t="s">
        <v>12</v>
      </c>
    </row>
    <row r="10" spans="1:7" x14ac:dyDescent="0.25">
      <c r="A10" s="13">
        <v>7</v>
      </c>
      <c r="B10" s="13" t="s">
        <v>13</v>
      </c>
      <c r="C10" s="14">
        <v>3000</v>
      </c>
      <c r="D10" s="15" t="s">
        <v>14</v>
      </c>
    </row>
    <row r="11" spans="1:7" x14ac:dyDescent="0.25">
      <c r="A11" s="13">
        <v>8</v>
      </c>
      <c r="B11" s="13" t="s">
        <v>15</v>
      </c>
      <c r="C11" s="14">
        <v>100000</v>
      </c>
      <c r="D11" s="15" t="s">
        <v>16</v>
      </c>
    </row>
    <row r="12" spans="1:7" x14ac:dyDescent="0.25">
      <c r="A12" s="13">
        <v>9</v>
      </c>
      <c r="B12" s="13" t="s">
        <v>17</v>
      </c>
      <c r="C12" s="14">
        <v>1000</v>
      </c>
      <c r="D12" s="15" t="s">
        <v>18</v>
      </c>
    </row>
    <row r="13" spans="1:7" x14ac:dyDescent="0.25">
      <c r="A13" s="13">
        <v>10</v>
      </c>
      <c r="B13" s="13" t="s">
        <v>19</v>
      </c>
      <c r="C13" s="14">
        <v>3000</v>
      </c>
      <c r="D13" s="15" t="s">
        <v>20</v>
      </c>
    </row>
    <row r="14" spans="1:7" x14ac:dyDescent="0.25">
      <c r="A14" s="13">
        <v>11</v>
      </c>
      <c r="B14" s="13" t="s">
        <v>30</v>
      </c>
      <c r="C14" s="14">
        <v>310000</v>
      </c>
      <c r="D14" s="15" t="s">
        <v>21</v>
      </c>
    </row>
    <row r="15" spans="1:7" x14ac:dyDescent="0.25">
      <c r="A15" s="13">
        <v>12</v>
      </c>
      <c r="B15" s="13" t="s">
        <v>22</v>
      </c>
      <c r="C15" s="14">
        <v>15000</v>
      </c>
      <c r="D15" s="15" t="s">
        <v>23</v>
      </c>
    </row>
    <row r="16" spans="1:7" x14ac:dyDescent="0.25">
      <c r="A16" s="13">
        <v>13</v>
      </c>
      <c r="B16" s="13" t="s">
        <v>24</v>
      </c>
      <c r="C16" s="14">
        <v>50000</v>
      </c>
      <c r="D16" s="13" t="s">
        <v>25</v>
      </c>
    </row>
    <row r="17" spans="1:9" x14ac:dyDescent="0.25">
      <c r="A17" s="13">
        <v>14</v>
      </c>
      <c r="B17" s="13" t="s">
        <v>26</v>
      </c>
      <c r="C17" s="14">
        <v>20000</v>
      </c>
      <c r="D17" s="15" t="s">
        <v>27</v>
      </c>
    </row>
    <row r="18" spans="1:9" x14ac:dyDescent="0.25">
      <c r="A18" s="11" t="s">
        <v>32</v>
      </c>
      <c r="B18" s="11"/>
      <c r="C18" s="12">
        <f>SUM(C4:C17)</f>
        <v>716000</v>
      </c>
      <c r="D18" s="12"/>
    </row>
    <row r="19" spans="1:9" x14ac:dyDescent="0.25">
      <c r="H19" s="1" t="s">
        <v>28</v>
      </c>
    </row>
    <row r="20" spans="1:9" x14ac:dyDescent="0.25">
      <c r="A20" s="10" t="s">
        <v>31</v>
      </c>
      <c r="B20" s="10"/>
      <c r="C20" s="10"/>
      <c r="D20" s="10"/>
      <c r="H20" s="1" t="s">
        <v>29</v>
      </c>
    </row>
    <row r="21" spans="1:9" x14ac:dyDescent="0.25">
      <c r="A21" s="5" t="s">
        <v>0</v>
      </c>
      <c r="B21" s="5" t="s">
        <v>4</v>
      </c>
      <c r="C21" s="6" t="s">
        <v>1</v>
      </c>
      <c r="D21" s="5" t="s">
        <v>2</v>
      </c>
      <c r="H21" s="1" t="s">
        <v>33</v>
      </c>
      <c r="I21" s="1" t="s">
        <v>35</v>
      </c>
    </row>
    <row r="22" spans="1:9" x14ac:dyDescent="0.25">
      <c r="A22" s="7">
        <v>1</v>
      </c>
      <c r="B22" s="7" t="s">
        <v>43</v>
      </c>
      <c r="C22" s="8">
        <v>35800</v>
      </c>
      <c r="D22" s="9" t="s">
        <v>44</v>
      </c>
      <c r="H22" s="1" t="s">
        <v>37</v>
      </c>
      <c r="I22" s="1" t="s">
        <v>38</v>
      </c>
    </row>
    <row r="23" spans="1:9" x14ac:dyDescent="0.25">
      <c r="A23" s="7">
        <v>2</v>
      </c>
      <c r="B23" s="7" t="s">
        <v>45</v>
      </c>
      <c r="C23" s="8">
        <v>31700</v>
      </c>
      <c r="D23" s="9" t="s">
        <v>47</v>
      </c>
      <c r="H23" s="1" t="s">
        <v>39</v>
      </c>
      <c r="I23" s="1" t="s">
        <v>40</v>
      </c>
    </row>
    <row r="24" spans="1:9" x14ac:dyDescent="0.25">
      <c r="A24" s="7">
        <v>3</v>
      </c>
      <c r="B24" s="7" t="s">
        <v>46</v>
      </c>
      <c r="C24" s="8">
        <v>101400</v>
      </c>
      <c r="D24" s="9">
        <v>8520</v>
      </c>
    </row>
    <row r="25" spans="1:9" x14ac:dyDescent="0.25">
      <c r="A25" s="11" t="s">
        <v>32</v>
      </c>
      <c r="B25" s="11"/>
      <c r="C25" s="12">
        <f>SUM(C22:C24)</f>
        <v>168900</v>
      </c>
      <c r="D25" s="12"/>
    </row>
  </sheetData>
  <mergeCells count="7">
    <mergeCell ref="E4:E5"/>
    <mergeCell ref="A2:D2"/>
    <mergeCell ref="A18:B18"/>
    <mergeCell ref="C18:D18"/>
    <mergeCell ref="A20:D20"/>
    <mergeCell ref="A25:B25"/>
    <mergeCell ref="C25:D25"/>
  </mergeCells>
  <hyperlinks>
    <hyperlink ref="D4" r:id="rId1" xr:uid="{82F4DB1C-157A-4F38-B190-9B53568FD234}"/>
    <hyperlink ref="D5" r:id="rId2" xr:uid="{918D434F-8131-4419-9224-2A85EE80DEE0}"/>
    <hyperlink ref="D6" r:id="rId3" display="720" xr:uid="{2BC0A2F1-DD17-4DFD-86A0-5B30B3D23577}"/>
    <hyperlink ref="D7" r:id="rId4" xr:uid="{2592F07C-528C-4731-8BA5-420B767A031F}"/>
    <hyperlink ref="D8" r:id="rId5" xr:uid="{A267C809-7B9D-4AD4-9574-7CEBE57D8EF8}"/>
    <hyperlink ref="D9" r:id="rId6" xr:uid="{EE290901-D860-41BD-89B8-099B0BA0990A}"/>
    <hyperlink ref="D10" r:id="rId7" xr:uid="{652981E0-40E1-4D9E-9165-A2BEAFA416A8}"/>
    <hyperlink ref="D11" r:id="rId8" xr:uid="{2FF61EC7-B84E-4CA9-A3D2-26064BB99C17}"/>
    <hyperlink ref="D12" r:id="rId9" xr:uid="{6C3B6A14-A2B4-43CA-BBC0-BA27334E607B}"/>
    <hyperlink ref="D13" r:id="rId10" xr:uid="{20294FFA-F8C4-4B0F-9AB0-A442CFA8DDFC}"/>
    <hyperlink ref="D14" r:id="rId11" xr:uid="{87C46E38-17FD-4015-9426-5CDB0D54C922}"/>
    <hyperlink ref="D15" r:id="rId12" xr:uid="{81E8B661-37E3-45E2-9B71-72690BA4B3D0}"/>
    <hyperlink ref="D17" r:id="rId13" xr:uid="{94E87DB5-EDDC-4B08-92C3-0B74C75AF3E5}"/>
    <hyperlink ref="D22" r:id="rId14" xr:uid="{9F70D22B-F4E8-4704-A59D-20E543A4C509}"/>
    <hyperlink ref="D23" r:id="rId15" xr:uid="{1FAD2A0F-D0F7-4704-A569-8FD3566A3359}"/>
    <hyperlink ref="D24" r:id="rId16" display="8520" xr:uid="{F274D6E0-942D-4585-8A57-71E2A2C21361}"/>
  </hyperlinks>
  <pageMargins left="0.7" right="0.7" top="0.75" bottom="0.75" header="0.3" footer="0.3"/>
  <pageSetup orientation="portrait"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A1A6B-71B2-402B-84EB-CC7F4CFF8E23}">
  <dimension ref="A1:G22"/>
  <sheetViews>
    <sheetView topLeftCell="A7" workbookViewId="0">
      <selection activeCell="G14" sqref="G14"/>
    </sheetView>
  </sheetViews>
  <sheetFormatPr defaultRowHeight="15" x14ac:dyDescent="0.25"/>
  <cols>
    <col min="1" max="1" width="4.140625" style="1" bestFit="1" customWidth="1"/>
    <col min="2" max="2" width="39.5703125" style="1" bestFit="1" customWidth="1"/>
    <col min="3" max="3" width="14.42578125" style="34" customWidth="1"/>
    <col min="4" max="4" width="15" style="1" bestFit="1" customWidth="1"/>
    <col min="5" max="5" width="11.42578125" style="1" bestFit="1" customWidth="1"/>
    <col min="6" max="6" width="9.140625" style="1"/>
    <col min="7" max="7" width="49.5703125" style="1" bestFit="1" customWidth="1"/>
    <col min="8" max="16384" width="9.140625" style="1"/>
  </cols>
  <sheetData>
    <row r="1" spans="1:7" x14ac:dyDescent="0.25">
      <c r="A1" s="31" t="s">
        <v>54</v>
      </c>
      <c r="B1" s="31"/>
      <c r="C1" s="31"/>
      <c r="D1" s="31"/>
    </row>
    <row r="2" spans="1:7" x14ac:dyDescent="0.25">
      <c r="A2" s="5" t="s">
        <v>55</v>
      </c>
      <c r="B2" s="5" t="s">
        <v>4</v>
      </c>
      <c r="C2" s="32" t="s">
        <v>1</v>
      </c>
      <c r="D2" s="5" t="s">
        <v>2</v>
      </c>
    </row>
    <row r="3" spans="1:7" x14ac:dyDescent="0.25">
      <c r="A3" s="3">
        <v>1</v>
      </c>
      <c r="B3" s="3" t="s">
        <v>56</v>
      </c>
      <c r="C3" s="33">
        <v>2000</v>
      </c>
      <c r="D3" s="3"/>
    </row>
    <row r="4" spans="1:7" x14ac:dyDescent="0.25">
      <c r="A4" s="3">
        <v>2</v>
      </c>
      <c r="B4" s="3" t="s">
        <v>57</v>
      </c>
      <c r="C4" s="33">
        <v>1500</v>
      </c>
      <c r="D4" s="3"/>
    </row>
    <row r="5" spans="1:7" x14ac:dyDescent="0.25">
      <c r="A5" s="35">
        <v>3</v>
      </c>
      <c r="B5" s="35" t="s">
        <v>5</v>
      </c>
      <c r="C5" s="36">
        <v>46000</v>
      </c>
      <c r="D5" s="35"/>
      <c r="E5" s="37">
        <f>SUM(C5:C6)</f>
        <v>76000</v>
      </c>
      <c r="F5" s="39"/>
      <c r="G5" s="1" t="s">
        <v>62</v>
      </c>
    </row>
    <row r="6" spans="1:7" x14ac:dyDescent="0.25">
      <c r="A6" s="35">
        <v>4</v>
      </c>
      <c r="B6" s="35" t="s">
        <v>60</v>
      </c>
      <c r="C6" s="36">
        <v>30000</v>
      </c>
      <c r="D6" s="35"/>
      <c r="E6" s="38"/>
    </row>
    <row r="7" spans="1:7" x14ac:dyDescent="0.25">
      <c r="A7" s="3">
        <v>5</v>
      </c>
      <c r="B7" s="3" t="s">
        <v>59</v>
      </c>
      <c r="C7" s="33">
        <v>500</v>
      </c>
      <c r="D7" s="3"/>
    </row>
    <row r="8" spans="1:7" x14ac:dyDescent="0.25">
      <c r="A8" s="3">
        <v>6</v>
      </c>
      <c r="B8" s="3" t="s">
        <v>58</v>
      </c>
      <c r="C8" s="33">
        <v>500</v>
      </c>
      <c r="D8" s="3"/>
    </row>
    <row r="9" spans="1:7" x14ac:dyDescent="0.25">
      <c r="A9" s="3">
        <v>7</v>
      </c>
      <c r="B9" s="44" t="s">
        <v>65</v>
      </c>
      <c r="C9" s="33">
        <v>50000</v>
      </c>
      <c r="D9" s="3"/>
    </row>
    <row r="10" spans="1:7" x14ac:dyDescent="0.25">
      <c r="A10" s="3">
        <v>8</v>
      </c>
      <c r="B10" s="3" t="s">
        <v>61</v>
      </c>
      <c r="C10" s="33">
        <v>500</v>
      </c>
      <c r="D10" s="3"/>
    </row>
    <row r="11" spans="1:7" x14ac:dyDescent="0.25">
      <c r="A11" s="10" t="s">
        <v>32</v>
      </c>
      <c r="B11" s="10"/>
      <c r="C11" s="40">
        <f>SUM(C3:C10)</f>
        <v>131000</v>
      </c>
      <c r="D11" s="40"/>
    </row>
    <row r="13" spans="1:7" x14ac:dyDescent="0.25">
      <c r="A13" s="31" t="s">
        <v>31</v>
      </c>
      <c r="B13" s="31"/>
      <c r="C13" s="31"/>
      <c r="D13" s="31"/>
    </row>
    <row r="14" spans="1:7" x14ac:dyDescent="0.25">
      <c r="A14" s="5" t="s">
        <v>55</v>
      </c>
      <c r="B14" s="5" t="s">
        <v>4</v>
      </c>
      <c r="C14" s="32" t="s">
        <v>1</v>
      </c>
      <c r="D14" s="5" t="s">
        <v>2</v>
      </c>
    </row>
    <row r="15" spans="1:7" x14ac:dyDescent="0.25">
      <c r="A15" s="41">
        <v>1</v>
      </c>
      <c r="B15" s="41" t="s">
        <v>66</v>
      </c>
      <c r="C15" s="42">
        <v>27000</v>
      </c>
      <c r="D15" s="43" t="s">
        <v>63</v>
      </c>
    </row>
    <row r="16" spans="1:7" x14ac:dyDescent="0.25">
      <c r="A16" s="41">
        <v>2</v>
      </c>
      <c r="B16" s="41" t="s">
        <v>67</v>
      </c>
      <c r="C16" s="42">
        <v>10000</v>
      </c>
      <c r="D16" s="43" t="s">
        <v>64</v>
      </c>
    </row>
    <row r="17" spans="1:4" x14ac:dyDescent="0.25">
      <c r="A17" s="41">
        <v>3</v>
      </c>
      <c r="B17" s="41" t="s">
        <v>68</v>
      </c>
      <c r="C17" s="42">
        <v>17000</v>
      </c>
      <c r="D17" s="43" t="s">
        <v>69</v>
      </c>
    </row>
    <row r="18" spans="1:4" x14ac:dyDescent="0.25">
      <c r="A18" s="41">
        <v>4</v>
      </c>
      <c r="B18" s="41" t="s">
        <v>70</v>
      </c>
      <c r="C18" s="42">
        <v>12000</v>
      </c>
      <c r="D18" s="43" t="s">
        <v>71</v>
      </c>
    </row>
    <row r="19" spans="1:4" x14ac:dyDescent="0.25">
      <c r="A19" s="10" t="s">
        <v>32</v>
      </c>
      <c r="B19" s="10"/>
      <c r="C19" s="40">
        <f>SUM(C15:C18)</f>
        <v>66000</v>
      </c>
      <c r="D19" s="40"/>
    </row>
    <row r="21" spans="1:4" x14ac:dyDescent="0.25">
      <c r="A21" s="19" t="s">
        <v>72</v>
      </c>
      <c r="B21" s="19"/>
      <c r="C21" s="45">
        <f>SUM(C11,C19)</f>
        <v>197000</v>
      </c>
      <c r="D21" s="45"/>
    </row>
    <row r="22" spans="1:4" x14ac:dyDescent="0.25">
      <c r="B22" s="1" t="s">
        <v>73</v>
      </c>
      <c r="C22" s="45">
        <f>SUM(C3:C4,C7:C10,C15:C18)</f>
        <v>121000</v>
      </c>
      <c r="D22" s="45"/>
    </row>
  </sheetData>
  <mergeCells count="10">
    <mergeCell ref="A21:B21"/>
    <mergeCell ref="C21:D21"/>
    <mergeCell ref="C22:D22"/>
    <mergeCell ref="A1:D1"/>
    <mergeCell ref="A11:B11"/>
    <mergeCell ref="C11:D11"/>
    <mergeCell ref="E5:E6"/>
    <mergeCell ref="A13:D13"/>
    <mergeCell ref="A19:B19"/>
    <mergeCell ref="C19:D19"/>
  </mergeCells>
  <hyperlinks>
    <hyperlink ref="D15" r:id="rId1" xr:uid="{93A77BCB-D17B-461F-8FFE-16793A4FDB61}"/>
    <hyperlink ref="D16" r:id="rId2" xr:uid="{281AED0F-83D6-40D6-921F-71224A98A931}"/>
    <hyperlink ref="D17" r:id="rId3" xr:uid="{53511DA4-6B2A-45E7-B1C1-F7E4E841E59D}"/>
    <hyperlink ref="D18" r:id="rId4" xr:uid="{51EB4618-FF39-44C1-9454-019EB2AA128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324FC-BD27-4CF2-8523-F91D8C7D8A9B}">
  <dimension ref="A1:E12"/>
  <sheetViews>
    <sheetView workbookViewId="0">
      <selection activeCell="H12" sqref="H12"/>
    </sheetView>
  </sheetViews>
  <sheetFormatPr defaultRowHeight="15" x14ac:dyDescent="0.25"/>
  <cols>
    <col min="1" max="1" width="3.5703125" bestFit="1" customWidth="1"/>
    <col min="2" max="2" width="26.42578125" bestFit="1" customWidth="1"/>
    <col min="3" max="3" width="15.5703125" style="24" bestFit="1" customWidth="1"/>
    <col min="4" max="4" width="14" style="24" bestFit="1" customWidth="1"/>
    <col min="5" max="5" width="14" style="22" bestFit="1" customWidth="1"/>
  </cols>
  <sheetData>
    <row r="1" spans="1:5" x14ac:dyDescent="0.25">
      <c r="A1" s="28" t="s">
        <v>48</v>
      </c>
      <c r="B1" s="29"/>
      <c r="C1" s="29"/>
      <c r="D1" s="29"/>
      <c r="E1" s="30"/>
    </row>
    <row r="2" spans="1:5" x14ac:dyDescent="0.25">
      <c r="A2" s="25" t="s">
        <v>49</v>
      </c>
      <c r="B2" s="25" t="s">
        <v>50</v>
      </c>
      <c r="C2" s="26" t="s">
        <v>51</v>
      </c>
      <c r="D2" s="26" t="s">
        <v>52</v>
      </c>
      <c r="E2" s="27" t="s">
        <v>32</v>
      </c>
    </row>
    <row r="3" spans="1:5" x14ac:dyDescent="0.25">
      <c r="A3" s="3">
        <v>1</v>
      </c>
      <c r="B3" t="s">
        <v>53</v>
      </c>
      <c r="C3" s="23">
        <v>318999</v>
      </c>
      <c r="D3" s="23"/>
      <c r="E3" s="4">
        <f>SUM(C3:D3)</f>
        <v>318999</v>
      </c>
    </row>
    <row r="4" spans="1:5" x14ac:dyDescent="0.25">
      <c r="A4" s="3">
        <v>2</v>
      </c>
      <c r="B4" s="3" t="s">
        <v>5</v>
      </c>
      <c r="C4" s="23"/>
      <c r="D4" s="23">
        <v>-48000</v>
      </c>
      <c r="E4" s="4">
        <f>SUM(E3,C4:D4)</f>
        <v>270999</v>
      </c>
    </row>
    <row r="5" spans="1:5" x14ac:dyDescent="0.25">
      <c r="A5" s="3">
        <v>3</v>
      </c>
      <c r="B5" s="3" t="s">
        <v>34</v>
      </c>
      <c r="C5" s="23"/>
      <c r="D5" s="23">
        <v>-115000</v>
      </c>
      <c r="E5" s="4">
        <f t="shared" ref="E5:E8" si="0">SUM(E4,C5:D5)</f>
        <v>155999</v>
      </c>
    </row>
    <row r="6" spans="1:5" x14ac:dyDescent="0.25">
      <c r="A6" s="3">
        <v>4</v>
      </c>
      <c r="B6" s="3" t="s">
        <v>43</v>
      </c>
      <c r="C6" s="23"/>
      <c r="D6" s="23">
        <v>-35800</v>
      </c>
      <c r="E6" s="4">
        <f t="shared" si="0"/>
        <v>120199</v>
      </c>
    </row>
    <row r="7" spans="1:5" x14ac:dyDescent="0.25">
      <c r="A7" s="3">
        <v>5</v>
      </c>
      <c r="B7" s="3" t="s">
        <v>45</v>
      </c>
      <c r="C7" s="23"/>
      <c r="D7" s="23">
        <v>-31700</v>
      </c>
      <c r="E7" s="4">
        <f t="shared" si="0"/>
        <v>88499</v>
      </c>
    </row>
    <row r="8" spans="1:5" x14ac:dyDescent="0.25">
      <c r="A8" s="3">
        <v>6</v>
      </c>
      <c r="B8" s="3" t="s">
        <v>46</v>
      </c>
      <c r="C8" s="23"/>
      <c r="D8" s="23">
        <v>-101400</v>
      </c>
      <c r="E8" s="4">
        <f t="shared" si="0"/>
        <v>-12901</v>
      </c>
    </row>
    <row r="9" spans="1:5" x14ac:dyDescent="0.25">
      <c r="A9" s="3">
        <v>7</v>
      </c>
      <c r="B9" s="3"/>
      <c r="C9" s="23"/>
      <c r="D9" s="23"/>
      <c r="E9" s="4"/>
    </row>
    <row r="10" spans="1:5" x14ac:dyDescent="0.25">
      <c r="A10" s="3">
        <v>8</v>
      </c>
      <c r="B10" s="3"/>
      <c r="C10" s="23"/>
      <c r="D10" s="23"/>
      <c r="E10" s="4"/>
    </row>
    <row r="11" spans="1:5" x14ac:dyDescent="0.25">
      <c r="A11" s="3">
        <v>9</v>
      </c>
      <c r="B11" s="3"/>
      <c r="C11" s="23"/>
      <c r="D11" s="23"/>
      <c r="E11" s="4"/>
    </row>
    <row r="12" spans="1:5" x14ac:dyDescent="0.25">
      <c r="A12" s="3">
        <v>10</v>
      </c>
      <c r="B12" s="3"/>
      <c r="C12" s="23"/>
      <c r="D12" s="23"/>
      <c r="E12" s="4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RAB Batch 1</vt:lpstr>
      <vt:lpstr>RAB Batch 2</vt:lpstr>
      <vt:lpstr>Laporan Keuangan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Prasetya Garda Kesumabangsa</dc:creator>
  <cp:lastModifiedBy>Prasetya</cp:lastModifiedBy>
  <dcterms:created xsi:type="dcterms:W3CDTF">2025-03-12T13:57:18Z</dcterms:created>
  <dcterms:modified xsi:type="dcterms:W3CDTF">2025-11-19T11:41:21Z</dcterms:modified>
</cp:coreProperties>
</file>